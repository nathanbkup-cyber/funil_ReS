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doso.nathan\Documents\"/>
    </mc:Choice>
  </mc:AlternateContent>
  <xr:revisionPtr revIDLastSave="0" documentId="8_{4B0149B2-7E5C-4633-9640-BF2D716313CF}" xr6:coauthVersionLast="47" xr6:coauthVersionMax="47" xr10:uidLastSave="{00000000-0000-0000-0000-000000000000}"/>
  <bookViews>
    <workbookView xWindow="20370" yWindow="-4830" windowWidth="29040" windowHeight="15720" xr2:uid="{00000000-000D-0000-FFFF-FFFF00000000}"/>
  </bookViews>
  <sheets>
    <sheet name="INSTRUCOES" sheetId="1" r:id="rId1"/>
    <sheet name="Abr-2026" sheetId="2" r:id="rId2"/>
    <sheet name="Mai-202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" i="3" l="1"/>
  <c r="B88" i="3"/>
  <c r="B87" i="3"/>
  <c r="B86" i="3"/>
  <c r="B85" i="3"/>
  <c r="B84" i="3"/>
  <c r="B83" i="3"/>
  <c r="B79" i="3"/>
  <c r="B78" i="3"/>
  <c r="B77" i="3"/>
  <c r="B76" i="3"/>
  <c r="B75" i="3"/>
  <c r="B74" i="3"/>
  <c r="B73" i="3"/>
  <c r="B69" i="3"/>
  <c r="B68" i="3"/>
  <c r="B67" i="3"/>
  <c r="B66" i="3"/>
  <c r="B65" i="3"/>
  <c r="B64" i="3"/>
  <c r="B63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B49" i="3"/>
  <c r="B48" i="3"/>
  <c r="B47" i="3"/>
  <c r="B46" i="3"/>
  <c r="B45" i="3"/>
  <c r="B44" i="3"/>
  <c r="B43" i="3"/>
  <c r="B39" i="3"/>
  <c r="B38" i="3"/>
  <c r="B37" i="3"/>
  <c r="B36" i="3"/>
  <c r="B35" i="3"/>
  <c r="B34" i="3"/>
  <c r="B33" i="3"/>
  <c r="B29" i="3"/>
  <c r="B28" i="3"/>
  <c r="B27" i="3"/>
  <c r="B26" i="3"/>
  <c r="B25" i="3"/>
  <c r="B24" i="3"/>
  <c r="B23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C17" i="2"/>
  <c r="B3" i="2"/>
  <c r="C53" i="2"/>
  <c r="C58" i="2"/>
  <c r="F4" i="2"/>
  <c r="F5" i="2"/>
  <c r="F6" i="2"/>
  <c r="F7" i="2"/>
  <c r="F8" i="2"/>
  <c r="F9" i="2"/>
  <c r="F3" i="2"/>
  <c r="E8" i="2"/>
  <c r="D4" i="2"/>
  <c r="D5" i="2"/>
  <c r="D6" i="2"/>
  <c r="D7" i="2"/>
  <c r="D8" i="2"/>
  <c r="D9" i="2"/>
  <c r="D3" i="2"/>
  <c r="C9" i="2"/>
  <c r="C4" i="2"/>
  <c r="C5" i="2"/>
  <c r="C6" i="2"/>
  <c r="C7" i="2"/>
  <c r="C8" i="2"/>
  <c r="C3" i="2"/>
  <c r="D19" i="2"/>
  <c r="D14" i="2"/>
  <c r="D15" i="2"/>
  <c r="D16" i="2"/>
  <c r="D17" i="2"/>
  <c r="D18" i="2"/>
  <c r="D13" i="2"/>
  <c r="C14" i="2"/>
  <c r="C15" i="2"/>
  <c r="C16" i="2"/>
  <c r="C18" i="2"/>
  <c r="C19" i="2"/>
  <c r="C13" i="2"/>
  <c r="C54" i="2"/>
  <c r="E4" i="2" s="1"/>
  <c r="C55" i="2"/>
  <c r="E5" i="2" s="1"/>
  <c r="C56" i="2"/>
  <c r="E6" i="2" s="1"/>
  <c r="C57" i="2"/>
  <c r="E7" i="2" s="1"/>
  <c r="C59" i="2"/>
  <c r="E9" i="2" s="1"/>
  <c r="E3" i="2"/>
  <c r="D54" i="2"/>
  <c r="D55" i="2"/>
  <c r="D56" i="2"/>
  <c r="D57" i="2"/>
  <c r="D58" i="2"/>
  <c r="D59" i="2"/>
  <c r="D53" i="2"/>
  <c r="B89" i="2"/>
  <c r="B88" i="2"/>
  <c r="B87" i="2"/>
  <c r="B86" i="2"/>
  <c r="B85" i="2"/>
  <c r="B84" i="2"/>
  <c r="B83" i="2"/>
  <c r="B79" i="2"/>
  <c r="B78" i="2"/>
  <c r="B77" i="2"/>
  <c r="B76" i="2"/>
  <c r="B75" i="2"/>
  <c r="B74" i="2"/>
  <c r="B73" i="2"/>
  <c r="B69" i="2"/>
  <c r="B68" i="2"/>
  <c r="B67" i="2"/>
  <c r="B66" i="2"/>
  <c r="B65" i="2"/>
  <c r="B64" i="2"/>
  <c r="B63" i="2"/>
  <c r="B59" i="2"/>
  <c r="B58" i="2"/>
  <c r="B57" i="2"/>
  <c r="B56" i="2"/>
  <c r="B55" i="2"/>
  <c r="B54" i="2"/>
  <c r="B53" i="2"/>
  <c r="B49" i="2"/>
  <c r="B48" i="2"/>
  <c r="B47" i="2"/>
  <c r="B46" i="2"/>
  <c r="B45" i="2"/>
  <c r="B44" i="2"/>
  <c r="B43" i="2"/>
  <c r="B39" i="2"/>
  <c r="B38" i="2"/>
  <c r="B37" i="2"/>
  <c r="B36" i="2"/>
  <c r="B35" i="2"/>
  <c r="B34" i="2"/>
  <c r="B33" i="2"/>
  <c r="B29" i="2"/>
  <c r="B28" i="2"/>
  <c r="B27" i="2"/>
  <c r="B26" i="2"/>
  <c r="B25" i="2"/>
  <c r="B24" i="2"/>
  <c r="B23" i="2"/>
  <c r="B19" i="2"/>
  <c r="B18" i="2"/>
  <c r="B17" i="2"/>
  <c r="B16" i="2"/>
  <c r="B15" i="2"/>
  <c r="B14" i="2"/>
  <c r="B13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<sst xmlns="http://schemas.openxmlformats.org/spreadsheetml/2006/main" count="234" uniqueCount="36">
  <si>
    <t>INSTRUÇÕES DE PREENCHIMENTO</t>
  </si>
  <si>
    <t>1. ESTRUTURA</t>
  </si>
  <si>
    <t xml:space="preserve">   • Cada mês = uma aba  (ex: Abr-2026, Mai-2026)</t>
  </si>
  <si>
    <t xml:space="preserve">   • Para novo mês: botão direito na aba → Mover ou Copiar → Criar cópia → renomeie</t>
  </si>
  <si>
    <t>2. COLUNA 'TODOS'</t>
  </si>
  <si>
    <t xml:space="preserve">   • A coluna 'Todos' (azul claro) é calculada automaticamente — NÃO edite</t>
  </si>
  <si>
    <t xml:space="preserve">   • Preencha apenas as colunas brancas (CX, Collections, Global, Domésticas)</t>
  </si>
  <si>
    <t>3. REGIÕES E SEGMENTOS</t>
  </si>
  <si>
    <t xml:space="preserve">   • Geral → preencha CX, Collections, Global e Domésticas</t>
  </si>
  <si>
    <t xml:space="preserve">   • PR, Curitiba, Londrina, Ponta Grossa → preencha CX e Collections</t>
  </si>
  <si>
    <t xml:space="preserve">   • SP, São Paulo, Barueri, Fortaleza → preencha Global e Domésticas</t>
  </si>
  <si>
    <t>4. PREENCHIMENTO</t>
  </si>
  <si>
    <t xml:space="preserve">   • NÃO altere nomes de etapas, regiões ou segmentos</t>
  </si>
  <si>
    <t xml:space="preserve">   • NÃO adicione ou remova linhas e colunas</t>
  </si>
  <si>
    <t>Região: Geral</t>
  </si>
  <si>
    <t>Etapa</t>
  </si>
  <si>
    <t>Todos</t>
  </si>
  <si>
    <t>CX</t>
  </si>
  <si>
    <t>Collections</t>
  </si>
  <si>
    <t>Global</t>
  </si>
  <si>
    <t>Domésticas</t>
  </si>
  <si>
    <t>Abordados</t>
  </si>
  <si>
    <t>Agendados</t>
  </si>
  <si>
    <t>Entrevistados</t>
  </si>
  <si>
    <t>Aprovados</t>
  </si>
  <si>
    <t>DI Seleção</t>
  </si>
  <si>
    <t>No Show</t>
  </si>
  <si>
    <t>Admitidos</t>
  </si>
  <si>
    <t>Região: PR</t>
  </si>
  <si>
    <t>Região: Curitiba</t>
  </si>
  <si>
    <t>Região: Londrina</t>
  </si>
  <si>
    <t>Região: Ponta Grossa</t>
  </si>
  <si>
    <t>Região: SP</t>
  </si>
  <si>
    <t>Região: São Paulo</t>
  </si>
  <si>
    <t>Região: Barueri</t>
  </si>
  <si>
    <t>Região: Fortaleza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</si>
</sst>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1696F"/>
      </patternFill>
    </fill>
    <fill>
      <patternFill patternType="solid">
        <fgColor rgb="FFE8F5F5"/>
      </patternFill>
    </fill>
    <fill>
      <patternFill patternType="solid">
        <fgColor rgb="FFD6EEF0"/>
      </patternFill>
    </fill>
    <fill>
      <patternFill patternType="solid">
        <fgColor rgb="FFF3F0EC"/>
      </patternFill>
    </fill>
  </fills>
  <borders count="4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/>
      <top style="thin">
        <color rgb="FFD4D1CA"/>
      </top>
      <bottom style="thin">
        <color rgb="FFD4D1CA"/>
      </bottom>
      <diagonal/>
    </border>
    <border>
      <left/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/>
  </sheetViews>
  <sheetFormatPr defaultRowHeight="15" x14ac:dyDescent="0.25"/>
  <cols>
    <col min="1" max="1" width="80" customWidth="1"/>
  </cols>
  <sheetData>
    <row r="1" spans="1:1" ht="20.100000000000001" customHeight="1" x14ac:dyDescent="0.25">
      <c r="A1" s="1" t="s">
        <v>0</v>
      </c>
    </row>
    <row r="2" spans="1:1" ht="20.100000000000001" customHeight="1" x14ac:dyDescent="0.25">
      <c r="A2" s="2"/>
    </row>
    <row r="3" spans="1:1" ht="20.100000000000001" customHeight="1" x14ac:dyDescent="0.25">
      <c r="A3" s="3" t="s">
        <v>1</v>
      </c>
    </row>
    <row r="4" spans="1:1" ht="20.100000000000001" customHeight="1" x14ac:dyDescent="0.25">
      <c r="A4" s="2" t="s">
        <v>2</v>
      </c>
    </row>
    <row r="5" spans="1:1" ht="20.100000000000001" customHeight="1" x14ac:dyDescent="0.25">
      <c r="A5" s="2" t="s">
        <v>3</v>
      </c>
    </row>
    <row r="6" spans="1:1" ht="20.100000000000001" customHeight="1" x14ac:dyDescent="0.25">
      <c r="A6" s="2"/>
    </row>
    <row r="7" spans="1:1" ht="20.100000000000001" customHeight="1" x14ac:dyDescent="0.25">
      <c r="A7" s="3" t="s">
        <v>4</v>
      </c>
    </row>
    <row r="8" spans="1:1" ht="20.100000000000001" customHeight="1" x14ac:dyDescent="0.25">
      <c r="A8" s="2" t="s">
        <v>5</v>
      </c>
    </row>
    <row r="9" spans="1:1" ht="20.100000000000001" customHeight="1" x14ac:dyDescent="0.25">
      <c r="A9" s="2" t="s">
        <v>6</v>
      </c>
    </row>
    <row r="10" spans="1:1" ht="20.100000000000001" customHeight="1" x14ac:dyDescent="0.25">
      <c r="A10" s="2"/>
    </row>
    <row r="11" spans="1:1" ht="20.100000000000001" customHeight="1" x14ac:dyDescent="0.25">
      <c r="A11" s="3" t="s">
        <v>7</v>
      </c>
    </row>
    <row r="12" spans="1:1" ht="20.100000000000001" customHeight="1" x14ac:dyDescent="0.25">
      <c r="A12" s="2" t="s">
        <v>8</v>
      </c>
    </row>
    <row r="13" spans="1:1" ht="20.100000000000001" customHeight="1" x14ac:dyDescent="0.25">
      <c r="A13" s="2" t="s">
        <v>9</v>
      </c>
    </row>
    <row r="14" spans="1:1" ht="20.100000000000001" customHeight="1" x14ac:dyDescent="0.25">
      <c r="A14" s="2" t="s">
        <v>10</v>
      </c>
    </row>
    <row r="15" spans="1:1" ht="20.100000000000001" customHeight="1" x14ac:dyDescent="0.25">
      <c r="A15" s="2"/>
    </row>
    <row r="16" spans="1:1" ht="20.100000000000001" customHeight="1" x14ac:dyDescent="0.25">
      <c r="A16" s="3" t="s">
        <v>11</v>
      </c>
    </row>
    <row r="17" spans="1:1" ht="20.100000000000001" customHeight="1" x14ac:dyDescent="0.25">
      <c r="A17" s="2" t="s">
        <v>12</v>
      </c>
    </row>
    <row r="18" spans="1:1" ht="20.100000000000001" customHeight="1" x14ac:dyDescent="0.25">
      <c r="A18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9"/>
  <sheetViews>
    <sheetView topLeftCell="A54" workbookViewId="0">
      <selection activeCell="E6" sqref="E6"/>
    </sheetView>
  </sheetViews>
  <sheetFormatPr defaultRowHeight="15" x14ac:dyDescent="0.25"/>
  <cols>
    <col min="1" max="1" width="20" customWidth="1"/>
    <col min="2" max="6" width="14" customWidth="1"/>
  </cols>
  <sheetData>
    <row r="1" spans="1:6" ht="21.95" customHeight="1" x14ac:dyDescent="0.25">
      <c r="A1" s="11" t="s">
        <v>14</v>
      </c>
      <c r="B1" s="12"/>
      <c r="C1" s="12"/>
      <c r="D1" s="12"/>
      <c r="E1" s="12"/>
      <c r="F1" s="13"/>
    </row>
    <row r="2" spans="1:6" ht="18" customHeight="1" x14ac:dyDescent="0.25">
      <c r="A2" s="4" t="s">
        <v>15</v>
      </c>
      <c r="B2" s="5" t="s">
        <v>16</v>
      </c>
      <c r="C2" s="4" t="s">
        <v>17</v>
      </c>
      <c r="D2" s="4" t="s">
        <v>18</v>
      </c>
      <c r="E2" s="4" t="s">
        <v>19</v>
      </c>
      <c r="F2" s="4" t="s">
        <v>20</v>
      </c>
    </row>
    <row r="3" spans="1:6" ht="18" customHeight="1" x14ac:dyDescent="0.25">
      <c r="A3" s="6" t="s">
        <v>21</v>
      </c>
      <c r="B3" s="7">
        <f>C3+D3+E3+F3</f>
        <v>180166</v>
      </c>
      <c r="C3" s="8">
        <f>C13</f>
        <v>24449</v>
      </c>
      <c r="D3" s="8">
        <f>D13</f>
        <v>11780</v>
      </c>
      <c r="E3" s="8">
        <f>C53+C83</f>
        <v>91076</v>
      </c>
      <c r="F3" s="8">
        <f>D53+D83</f>
        <v>52861</v>
      </c>
    </row>
    <row r="4" spans="1:6" ht="18" customHeight="1" x14ac:dyDescent="0.25">
      <c r="A4" s="9" t="s">
        <v>22</v>
      </c>
      <c r="B4" s="7">
        <f t="shared" ref="B4:B9" si="0">C4+D4+E4+F4</f>
        <v>11771</v>
      </c>
      <c r="C4" s="8">
        <f t="shared" ref="C4:D8" si="1">C14</f>
        <v>2567</v>
      </c>
      <c r="D4" s="8">
        <f t="shared" si="1"/>
        <v>1679</v>
      </c>
      <c r="E4" s="8">
        <f t="shared" ref="E4:E9" si="2">C54+C84</f>
        <v>3134</v>
      </c>
      <c r="F4" s="8">
        <f t="shared" ref="F4:F9" si="3">D54+D84</f>
        <v>4391</v>
      </c>
    </row>
    <row r="5" spans="1:6" ht="18" customHeight="1" x14ac:dyDescent="0.25">
      <c r="A5" s="6" t="s">
        <v>23</v>
      </c>
      <c r="B5" s="7">
        <f t="shared" si="0"/>
        <v>8272</v>
      </c>
      <c r="C5" s="8">
        <f t="shared" si="1"/>
        <v>1884</v>
      </c>
      <c r="D5" s="8">
        <f t="shared" si="1"/>
        <v>1179</v>
      </c>
      <c r="E5" s="8">
        <f t="shared" si="2"/>
        <v>2183</v>
      </c>
      <c r="F5" s="8">
        <f t="shared" si="3"/>
        <v>3026</v>
      </c>
    </row>
    <row r="6" spans="1:6" ht="18" customHeight="1" x14ac:dyDescent="0.25">
      <c r="A6" s="9" t="s">
        <v>24</v>
      </c>
      <c r="B6" s="7">
        <f t="shared" si="0"/>
        <v>3709</v>
      </c>
      <c r="C6" s="8">
        <f t="shared" si="1"/>
        <v>1108</v>
      </c>
      <c r="D6" s="8">
        <f t="shared" si="1"/>
        <v>783</v>
      </c>
      <c r="E6" s="8">
        <f t="shared" si="2"/>
        <v>789</v>
      </c>
      <c r="F6" s="8">
        <f t="shared" si="3"/>
        <v>1029</v>
      </c>
    </row>
    <row r="7" spans="1:6" ht="18" customHeight="1" x14ac:dyDescent="0.25">
      <c r="A7" s="6" t="s">
        <v>25</v>
      </c>
      <c r="B7" s="7">
        <f t="shared" si="0"/>
        <v>1954</v>
      </c>
      <c r="C7" s="8">
        <f t="shared" si="1"/>
        <v>393</v>
      </c>
      <c r="D7" s="8">
        <f t="shared" si="1"/>
        <v>44</v>
      </c>
      <c r="E7" s="8">
        <f t="shared" si="2"/>
        <v>239</v>
      </c>
      <c r="F7" s="8">
        <f t="shared" si="3"/>
        <v>1278</v>
      </c>
    </row>
    <row r="8" spans="1:6" ht="18" customHeight="1" x14ac:dyDescent="0.25">
      <c r="A8" s="9" t="s">
        <v>26</v>
      </c>
      <c r="B8" s="7">
        <f t="shared" si="0"/>
        <v>528</v>
      </c>
      <c r="C8" s="8">
        <f t="shared" si="1"/>
        <v>170</v>
      </c>
      <c r="D8" s="8">
        <f t="shared" si="1"/>
        <v>208</v>
      </c>
      <c r="E8" s="8">
        <f t="shared" si="2"/>
        <v>35</v>
      </c>
      <c r="F8" s="8">
        <f t="shared" si="3"/>
        <v>115</v>
      </c>
    </row>
    <row r="9" spans="1:6" ht="18" customHeight="1" x14ac:dyDescent="0.25">
      <c r="A9" s="6" t="s">
        <v>27</v>
      </c>
      <c r="B9" s="7">
        <f t="shared" si="0"/>
        <v>2233</v>
      </c>
      <c r="C9" s="8">
        <f>C19</f>
        <v>545</v>
      </c>
      <c r="D9" s="8">
        <f t="shared" ref="D9" si="4">D19</f>
        <v>531</v>
      </c>
      <c r="E9" s="8">
        <f t="shared" si="2"/>
        <v>502</v>
      </c>
      <c r="F9" s="8">
        <f t="shared" si="3"/>
        <v>655</v>
      </c>
    </row>
    <row r="11" spans="1:6" ht="21.95" customHeight="1" x14ac:dyDescent="0.25">
      <c r="A11" s="11" t="s">
        <v>28</v>
      </c>
      <c r="B11" s="12"/>
      <c r="C11" s="12"/>
      <c r="D11" s="13"/>
    </row>
    <row r="12" spans="1:6" ht="18" customHeight="1" x14ac:dyDescent="0.25">
      <c r="A12" s="4" t="s">
        <v>15</v>
      </c>
      <c r="B12" s="5" t="s">
        <v>16</v>
      </c>
      <c r="C12" s="4" t="s">
        <v>17</v>
      </c>
      <c r="D12" s="4" t="s">
        <v>18</v>
      </c>
    </row>
    <row r="13" spans="1:6" ht="18" customHeight="1" x14ac:dyDescent="0.25">
      <c r="A13" s="6" t="s">
        <v>21</v>
      </c>
      <c r="B13" s="7">
        <f t="shared" ref="B13:B19" si="5">C13+D13</f>
        <v>36229</v>
      </c>
      <c r="C13" s="8">
        <f>C23+C33+C43</f>
        <v>24449</v>
      </c>
      <c r="D13" s="8">
        <f>D23+D33+D43</f>
        <v>11780</v>
      </c>
    </row>
    <row r="14" spans="1:6" ht="18" customHeight="1" x14ac:dyDescent="0.25">
      <c r="A14" s="9" t="s">
        <v>22</v>
      </c>
      <c r="B14" s="7">
        <f t="shared" si="5"/>
        <v>4246</v>
      </c>
      <c r="C14" s="8">
        <f t="shared" ref="C14:D19" si="6">C24+C34+C44</f>
        <v>2567</v>
      </c>
      <c r="D14" s="8">
        <f t="shared" si="6"/>
        <v>1679</v>
      </c>
    </row>
    <row r="15" spans="1:6" ht="18" customHeight="1" x14ac:dyDescent="0.25">
      <c r="A15" s="6" t="s">
        <v>23</v>
      </c>
      <c r="B15" s="7">
        <f t="shared" si="5"/>
        <v>3063</v>
      </c>
      <c r="C15" s="8">
        <f t="shared" si="6"/>
        <v>1884</v>
      </c>
      <c r="D15" s="8">
        <f t="shared" si="6"/>
        <v>1179</v>
      </c>
    </row>
    <row r="16" spans="1:6" ht="18" customHeight="1" x14ac:dyDescent="0.25">
      <c r="A16" s="9" t="s">
        <v>24</v>
      </c>
      <c r="B16" s="7">
        <f t="shared" si="5"/>
        <v>1891</v>
      </c>
      <c r="C16" s="8">
        <f t="shared" si="6"/>
        <v>1108</v>
      </c>
      <c r="D16" s="8">
        <f t="shared" si="6"/>
        <v>783</v>
      </c>
    </row>
    <row r="17" spans="1:4" ht="18" customHeight="1" x14ac:dyDescent="0.25">
      <c r="A17" s="6" t="s">
        <v>25</v>
      </c>
      <c r="B17" s="7">
        <f t="shared" si="5"/>
        <v>437</v>
      </c>
      <c r="C17" s="8">
        <f>C27+C37+C47</f>
        <v>393</v>
      </c>
      <c r="D17" s="8">
        <f t="shared" si="6"/>
        <v>44</v>
      </c>
    </row>
    <row r="18" spans="1:4" ht="18" customHeight="1" x14ac:dyDescent="0.25">
      <c r="A18" s="9" t="s">
        <v>26</v>
      </c>
      <c r="B18" s="7">
        <f t="shared" si="5"/>
        <v>378</v>
      </c>
      <c r="C18" s="8">
        <f t="shared" si="6"/>
        <v>170</v>
      </c>
      <c r="D18" s="8">
        <f t="shared" si="6"/>
        <v>208</v>
      </c>
    </row>
    <row r="19" spans="1:4" ht="18" customHeight="1" x14ac:dyDescent="0.25">
      <c r="A19" s="6" t="s">
        <v>27</v>
      </c>
      <c r="B19" s="7">
        <f t="shared" si="5"/>
        <v>1076</v>
      </c>
      <c r="C19" s="8">
        <f t="shared" si="6"/>
        <v>545</v>
      </c>
      <c r="D19" s="8">
        <f>D29+D39+D49</f>
        <v>531</v>
      </c>
    </row>
    <row r="21" spans="1:4" ht="21.95" customHeight="1" x14ac:dyDescent="0.25">
      <c r="A21" s="11" t="s">
        <v>29</v>
      </c>
      <c r="B21" s="12"/>
      <c r="C21" s="12"/>
      <c r="D21" s="13"/>
    </row>
    <row r="22" spans="1:4" ht="18" customHeight="1" x14ac:dyDescent="0.25">
      <c r="A22" s="4" t="s">
        <v>15</v>
      </c>
      <c r="B22" s="5" t="s">
        <v>16</v>
      </c>
      <c r="C22" s="4" t="s">
        <v>17</v>
      </c>
      <c r="D22" s="4" t="s">
        <v>18</v>
      </c>
    </row>
    <row r="23" spans="1:4" ht="18" customHeight="1" x14ac:dyDescent="0.25">
      <c r="A23" s="6" t="s">
        <v>21</v>
      </c>
      <c r="B23" s="7">
        <f t="shared" ref="B23:B29" si="7">C23+D23</f>
        <v>34265</v>
      </c>
      <c r="C23" s="8">
        <v>23283</v>
      </c>
      <c r="D23" s="8">
        <v>10982</v>
      </c>
    </row>
    <row r="24" spans="1:4" ht="18" customHeight="1" x14ac:dyDescent="0.25">
      <c r="A24" s="9" t="s">
        <v>22</v>
      </c>
      <c r="B24" s="7">
        <f t="shared" si="7"/>
        <v>3496</v>
      </c>
      <c r="C24" s="10">
        <v>2177</v>
      </c>
      <c r="D24" s="10">
        <v>1319</v>
      </c>
    </row>
    <row r="25" spans="1:4" ht="18" customHeight="1" x14ac:dyDescent="0.25">
      <c r="A25" s="6" t="s">
        <v>23</v>
      </c>
      <c r="B25" s="7">
        <f t="shared" si="7"/>
        <v>2576</v>
      </c>
      <c r="C25" s="8">
        <v>1631</v>
      </c>
      <c r="D25" s="8">
        <v>945</v>
      </c>
    </row>
    <row r="26" spans="1:4" ht="18" customHeight="1" x14ac:dyDescent="0.25">
      <c r="A26" s="9" t="s">
        <v>24</v>
      </c>
      <c r="B26" s="7">
        <f t="shared" si="7"/>
        <v>1584</v>
      </c>
      <c r="C26" s="10">
        <v>945</v>
      </c>
      <c r="D26" s="10">
        <v>639</v>
      </c>
    </row>
    <row r="27" spans="1:4" ht="18" customHeight="1" x14ac:dyDescent="0.25">
      <c r="A27" s="6" t="s">
        <v>25</v>
      </c>
      <c r="B27" s="7">
        <f t="shared" si="7"/>
        <v>388</v>
      </c>
      <c r="C27" s="8">
        <v>369</v>
      </c>
      <c r="D27" s="8">
        <v>19</v>
      </c>
    </row>
    <row r="28" spans="1:4" ht="18" customHeight="1" x14ac:dyDescent="0.25">
      <c r="A28" s="9" t="s">
        <v>26</v>
      </c>
      <c r="B28" s="7">
        <f t="shared" si="7"/>
        <v>322</v>
      </c>
      <c r="C28" s="10">
        <v>133</v>
      </c>
      <c r="D28" s="10">
        <v>189</v>
      </c>
    </row>
    <row r="29" spans="1:4" ht="18" customHeight="1" x14ac:dyDescent="0.25">
      <c r="A29" s="6" t="s">
        <v>27</v>
      </c>
      <c r="B29" s="7">
        <f t="shared" si="7"/>
        <v>874</v>
      </c>
      <c r="C29" s="8">
        <v>443</v>
      </c>
      <c r="D29" s="8">
        <v>431</v>
      </c>
    </row>
    <row r="31" spans="1:4" ht="21.95" customHeight="1" x14ac:dyDescent="0.25">
      <c r="A31" s="11" t="s">
        <v>30</v>
      </c>
      <c r="B31" s="12"/>
      <c r="C31" s="12"/>
      <c r="D31" s="13"/>
    </row>
    <row r="32" spans="1:4" ht="18" customHeight="1" x14ac:dyDescent="0.25">
      <c r="A32" s="4" t="s">
        <v>15</v>
      </c>
      <c r="B32" s="5" t="s">
        <v>16</v>
      </c>
      <c r="C32" s="4" t="s">
        <v>17</v>
      </c>
      <c r="D32" s="4" t="s">
        <v>18</v>
      </c>
    </row>
    <row r="33" spans="1:4" ht="18" customHeight="1" x14ac:dyDescent="0.25">
      <c r="A33" s="6" t="s">
        <v>21</v>
      </c>
      <c r="B33" s="7">
        <f t="shared" ref="B33:B39" si="8">C33+D33</f>
        <v>1166</v>
      </c>
      <c r="C33" s="8">
        <v>1166</v>
      </c>
      <c r="D33" s="8">
        <v>0</v>
      </c>
    </row>
    <row r="34" spans="1:4" ht="18" customHeight="1" x14ac:dyDescent="0.25">
      <c r="A34" s="9" t="s">
        <v>22</v>
      </c>
      <c r="B34" s="7">
        <f t="shared" si="8"/>
        <v>390</v>
      </c>
      <c r="C34" s="10">
        <v>390</v>
      </c>
      <c r="D34" s="10">
        <v>0</v>
      </c>
    </row>
    <row r="35" spans="1:4" ht="18" customHeight="1" x14ac:dyDescent="0.25">
      <c r="A35" s="6" t="s">
        <v>23</v>
      </c>
      <c r="B35" s="7">
        <f t="shared" si="8"/>
        <v>253</v>
      </c>
      <c r="C35" s="8">
        <v>253</v>
      </c>
      <c r="D35" s="8">
        <v>0</v>
      </c>
    </row>
    <row r="36" spans="1:4" ht="18" customHeight="1" x14ac:dyDescent="0.25">
      <c r="A36" s="9" t="s">
        <v>24</v>
      </c>
      <c r="B36" s="7">
        <f t="shared" si="8"/>
        <v>163</v>
      </c>
      <c r="C36" s="10">
        <v>163</v>
      </c>
      <c r="D36" s="10">
        <v>0</v>
      </c>
    </row>
    <row r="37" spans="1:4" ht="18" customHeight="1" x14ac:dyDescent="0.25">
      <c r="A37" s="6" t="s">
        <v>25</v>
      </c>
      <c r="B37" s="7">
        <f t="shared" si="8"/>
        <v>24</v>
      </c>
      <c r="C37" s="8">
        <v>24</v>
      </c>
      <c r="D37" s="8">
        <v>0</v>
      </c>
    </row>
    <row r="38" spans="1:4" ht="18" customHeight="1" x14ac:dyDescent="0.25">
      <c r="A38" s="9" t="s">
        <v>26</v>
      </c>
      <c r="B38" s="7">
        <f t="shared" si="8"/>
        <v>37</v>
      </c>
      <c r="C38" s="10">
        <v>37</v>
      </c>
      <c r="D38" s="10">
        <v>0</v>
      </c>
    </row>
    <row r="39" spans="1:4" ht="18" customHeight="1" x14ac:dyDescent="0.25">
      <c r="A39" s="6" t="s">
        <v>27</v>
      </c>
      <c r="B39" s="7">
        <f t="shared" si="8"/>
        <v>102</v>
      </c>
      <c r="C39" s="8">
        <v>102</v>
      </c>
      <c r="D39" s="8">
        <v>0</v>
      </c>
    </row>
    <row r="41" spans="1:4" ht="21.95" customHeight="1" x14ac:dyDescent="0.25">
      <c r="A41" s="11" t="s">
        <v>31</v>
      </c>
      <c r="B41" s="12"/>
      <c r="C41" s="12"/>
      <c r="D41" s="13"/>
    </row>
    <row r="42" spans="1:4" ht="18" customHeight="1" x14ac:dyDescent="0.25">
      <c r="A42" s="4" t="s">
        <v>15</v>
      </c>
      <c r="B42" s="5" t="s">
        <v>16</v>
      </c>
      <c r="C42" s="4" t="s">
        <v>17</v>
      </c>
      <c r="D42" s="4" t="s">
        <v>18</v>
      </c>
    </row>
    <row r="43" spans="1:4" ht="18" customHeight="1" x14ac:dyDescent="0.25">
      <c r="A43" s="6" t="s">
        <v>21</v>
      </c>
      <c r="B43" s="7">
        <f t="shared" ref="B43:B49" si="9">C43+D43</f>
        <v>798</v>
      </c>
      <c r="C43" s="8">
        <v>0</v>
      </c>
      <c r="D43" s="8">
        <v>798</v>
      </c>
    </row>
    <row r="44" spans="1:4" ht="18" customHeight="1" x14ac:dyDescent="0.25">
      <c r="A44" s="9" t="s">
        <v>22</v>
      </c>
      <c r="B44" s="7">
        <f t="shared" si="9"/>
        <v>360</v>
      </c>
      <c r="C44" s="10">
        <v>0</v>
      </c>
      <c r="D44" s="10">
        <v>360</v>
      </c>
    </row>
    <row r="45" spans="1:4" ht="18" customHeight="1" x14ac:dyDescent="0.25">
      <c r="A45" s="6" t="s">
        <v>23</v>
      </c>
      <c r="B45" s="7">
        <f t="shared" si="9"/>
        <v>234</v>
      </c>
      <c r="C45" s="8">
        <v>0</v>
      </c>
      <c r="D45" s="8">
        <v>234</v>
      </c>
    </row>
    <row r="46" spans="1:4" ht="18" customHeight="1" x14ac:dyDescent="0.25">
      <c r="A46" s="9" t="s">
        <v>24</v>
      </c>
      <c r="B46" s="7">
        <f t="shared" si="9"/>
        <v>144</v>
      </c>
      <c r="C46" s="10">
        <v>0</v>
      </c>
      <c r="D46" s="10">
        <v>144</v>
      </c>
    </row>
    <row r="47" spans="1:4" ht="18" customHeight="1" x14ac:dyDescent="0.25">
      <c r="A47" s="6" t="s">
        <v>25</v>
      </c>
      <c r="B47" s="7">
        <f t="shared" si="9"/>
        <v>25</v>
      </c>
      <c r="C47" s="8">
        <v>0</v>
      </c>
      <c r="D47" s="8">
        <v>25</v>
      </c>
    </row>
    <row r="48" spans="1:4" ht="18" customHeight="1" x14ac:dyDescent="0.25">
      <c r="A48" s="9" t="s">
        <v>26</v>
      </c>
      <c r="B48" s="7">
        <f t="shared" si="9"/>
        <v>19</v>
      </c>
      <c r="C48" s="10">
        <v>0</v>
      </c>
      <c r="D48" s="10">
        <v>19</v>
      </c>
    </row>
    <row r="49" spans="1:4" ht="18" customHeight="1" x14ac:dyDescent="0.25">
      <c r="A49" s="6" t="s">
        <v>27</v>
      </c>
      <c r="B49" s="7">
        <f t="shared" si="9"/>
        <v>100</v>
      </c>
      <c r="C49" s="8">
        <v>0</v>
      </c>
      <c r="D49" s="8">
        <v>100</v>
      </c>
    </row>
    <row r="51" spans="1:4" ht="21.95" customHeight="1" x14ac:dyDescent="0.25">
      <c r="A51" s="11" t="s">
        <v>32</v>
      </c>
      <c r="B51" s="12"/>
      <c r="C51" s="12"/>
      <c r="D51" s="13"/>
    </row>
    <row r="52" spans="1:4" ht="18" customHeight="1" x14ac:dyDescent="0.25">
      <c r="A52" s="4" t="s">
        <v>15</v>
      </c>
      <c r="B52" s="5" t="s">
        <v>16</v>
      </c>
      <c r="C52" s="4" t="s">
        <v>19</v>
      </c>
      <c r="D52" s="4" t="s">
        <v>20</v>
      </c>
    </row>
    <row r="53" spans="1:4" ht="18" customHeight="1" x14ac:dyDescent="0.25">
      <c r="A53" s="6" t="s">
        <v>21</v>
      </c>
      <c r="B53" s="7">
        <f t="shared" ref="B53:B59" si="10">C53+D53</f>
        <v>122404</v>
      </c>
      <c r="C53" s="8">
        <f>C63+C73</f>
        <v>90328</v>
      </c>
      <c r="D53" s="8">
        <f>D63+D73</f>
        <v>32076</v>
      </c>
    </row>
    <row r="54" spans="1:4" ht="18" customHeight="1" x14ac:dyDescent="0.25">
      <c r="A54" s="9" t="s">
        <v>22</v>
      </c>
      <c r="B54" s="7">
        <f t="shared" si="10"/>
        <v>4962</v>
      </c>
      <c r="C54" s="8">
        <f t="shared" ref="C54:C59" si="11">C64+C74</f>
        <v>2832</v>
      </c>
      <c r="D54" s="8">
        <f t="shared" ref="D54:D59" si="12">D64+D74</f>
        <v>2130</v>
      </c>
    </row>
    <row r="55" spans="1:4" ht="18" customHeight="1" x14ac:dyDescent="0.25">
      <c r="A55" s="6" t="s">
        <v>23</v>
      </c>
      <c r="B55" s="7">
        <f t="shared" si="10"/>
        <v>3476</v>
      </c>
      <c r="C55" s="8">
        <f t="shared" si="11"/>
        <v>1973</v>
      </c>
      <c r="D55" s="8">
        <f t="shared" si="12"/>
        <v>1503</v>
      </c>
    </row>
    <row r="56" spans="1:4" ht="18" customHeight="1" x14ac:dyDescent="0.25">
      <c r="A56" s="9" t="s">
        <v>24</v>
      </c>
      <c r="B56" s="7">
        <f t="shared" si="10"/>
        <v>1323</v>
      </c>
      <c r="C56" s="8">
        <f t="shared" si="11"/>
        <v>670</v>
      </c>
      <c r="D56" s="8">
        <f t="shared" si="12"/>
        <v>653</v>
      </c>
    </row>
    <row r="57" spans="1:4" ht="18" customHeight="1" x14ac:dyDescent="0.25">
      <c r="A57" s="6" t="s">
        <v>25</v>
      </c>
      <c r="B57" s="7">
        <f t="shared" si="10"/>
        <v>355</v>
      </c>
      <c r="C57" s="8">
        <f t="shared" si="11"/>
        <v>203</v>
      </c>
      <c r="D57" s="8">
        <f t="shared" si="12"/>
        <v>152</v>
      </c>
    </row>
    <row r="58" spans="1:4" ht="18" customHeight="1" x14ac:dyDescent="0.25">
      <c r="A58" s="9" t="s">
        <v>26</v>
      </c>
      <c r="B58" s="7">
        <f t="shared" si="10"/>
        <v>113</v>
      </c>
      <c r="C58" s="8">
        <f>C68+C78</f>
        <v>32</v>
      </c>
      <c r="D58" s="8">
        <f t="shared" si="12"/>
        <v>81</v>
      </c>
    </row>
    <row r="59" spans="1:4" ht="18" customHeight="1" x14ac:dyDescent="0.25">
      <c r="A59" s="6" t="s">
        <v>27</v>
      </c>
      <c r="B59" s="7">
        <f t="shared" si="10"/>
        <v>839</v>
      </c>
      <c r="C59" s="8">
        <f t="shared" si="11"/>
        <v>419</v>
      </c>
      <c r="D59" s="8">
        <f t="shared" si="12"/>
        <v>420</v>
      </c>
    </row>
    <row r="61" spans="1:4" ht="21.95" customHeight="1" x14ac:dyDescent="0.25">
      <c r="A61" s="11" t="s">
        <v>33</v>
      </c>
      <c r="B61" s="12"/>
      <c r="C61" s="12"/>
      <c r="D61" s="13"/>
    </row>
    <row r="62" spans="1:4" ht="18" customHeight="1" x14ac:dyDescent="0.25">
      <c r="A62" s="4" t="s">
        <v>15</v>
      </c>
      <c r="B62" s="5" t="s">
        <v>16</v>
      </c>
      <c r="C62" s="4" t="s">
        <v>19</v>
      </c>
      <c r="D62" s="4" t="s">
        <v>20</v>
      </c>
    </row>
    <row r="63" spans="1:4" ht="18" customHeight="1" x14ac:dyDescent="0.25">
      <c r="A63" s="6" t="s">
        <v>21</v>
      </c>
      <c r="B63" s="7">
        <f t="shared" ref="B63:B69" si="13">C63+D63</f>
        <v>113837</v>
      </c>
      <c r="C63" s="8">
        <v>84830</v>
      </c>
      <c r="D63" s="8">
        <v>29007</v>
      </c>
    </row>
    <row r="64" spans="1:4" ht="18" customHeight="1" x14ac:dyDescent="0.25">
      <c r="A64" s="9" t="s">
        <v>22</v>
      </c>
      <c r="B64" s="7">
        <f t="shared" si="13"/>
        <v>4417</v>
      </c>
      <c r="C64" s="10">
        <v>2384</v>
      </c>
      <c r="D64" s="10">
        <v>2033</v>
      </c>
    </row>
    <row r="65" spans="1:4" ht="18" customHeight="1" x14ac:dyDescent="0.25">
      <c r="A65" s="6" t="s">
        <v>23</v>
      </c>
      <c r="B65" s="7">
        <f t="shared" si="13"/>
        <v>3146</v>
      </c>
      <c r="C65" s="8">
        <v>1705</v>
      </c>
      <c r="D65" s="8">
        <v>1441</v>
      </c>
    </row>
    <row r="66" spans="1:4" ht="18" customHeight="1" x14ac:dyDescent="0.25">
      <c r="A66" s="9" t="s">
        <v>24</v>
      </c>
      <c r="B66" s="7">
        <f t="shared" si="13"/>
        <v>1175</v>
      </c>
      <c r="C66" s="10">
        <v>556</v>
      </c>
      <c r="D66" s="10">
        <v>619</v>
      </c>
    </row>
    <row r="67" spans="1:4" ht="18" customHeight="1" x14ac:dyDescent="0.25">
      <c r="A67" s="6" t="s">
        <v>25</v>
      </c>
      <c r="B67" s="7">
        <f t="shared" si="13"/>
        <v>295</v>
      </c>
      <c r="C67" s="8">
        <v>154</v>
      </c>
      <c r="D67" s="8">
        <v>141</v>
      </c>
    </row>
    <row r="68" spans="1:4" ht="18" customHeight="1" x14ac:dyDescent="0.25">
      <c r="A68" s="9" t="s">
        <v>26</v>
      </c>
      <c r="B68" s="7">
        <f t="shared" si="13"/>
        <v>98</v>
      </c>
      <c r="C68" s="10">
        <v>22</v>
      </c>
      <c r="D68" s="10">
        <v>76</v>
      </c>
    </row>
    <row r="69" spans="1:4" ht="18" customHeight="1" x14ac:dyDescent="0.25">
      <c r="A69" s="6" t="s">
        <v>27</v>
      </c>
      <c r="B69" s="7">
        <f t="shared" si="13"/>
        <v>767</v>
      </c>
      <c r="C69" s="8">
        <v>365</v>
      </c>
      <c r="D69" s="8">
        <v>402</v>
      </c>
    </row>
    <row r="71" spans="1:4" ht="21.95" customHeight="1" x14ac:dyDescent="0.25">
      <c r="A71" s="11" t="s">
        <v>34</v>
      </c>
      <c r="B71" s="12"/>
      <c r="C71" s="12"/>
      <c r="D71" s="13"/>
    </row>
    <row r="72" spans="1:4" ht="18" customHeight="1" x14ac:dyDescent="0.25">
      <c r="A72" s="4" t="s">
        <v>15</v>
      </c>
      <c r="B72" s="5" t="s">
        <v>16</v>
      </c>
      <c r="C72" s="4" t="s">
        <v>19</v>
      </c>
      <c r="D72" s="4" t="s">
        <v>20</v>
      </c>
    </row>
    <row r="73" spans="1:4" ht="18" customHeight="1" x14ac:dyDescent="0.25">
      <c r="A73" s="6" t="s">
        <v>21</v>
      </c>
      <c r="B73" s="7">
        <f t="shared" ref="B73:B79" si="14">C73+D73</f>
        <v>8567</v>
      </c>
      <c r="C73" s="8">
        <v>5498</v>
      </c>
      <c r="D73" s="8">
        <v>3069</v>
      </c>
    </row>
    <row r="74" spans="1:4" ht="18" customHeight="1" x14ac:dyDescent="0.25">
      <c r="A74" s="9" t="s">
        <v>22</v>
      </c>
      <c r="B74" s="7">
        <f t="shared" si="14"/>
        <v>545</v>
      </c>
      <c r="C74" s="10">
        <v>448</v>
      </c>
      <c r="D74" s="10">
        <v>97</v>
      </c>
    </row>
    <row r="75" spans="1:4" ht="18" customHeight="1" x14ac:dyDescent="0.25">
      <c r="A75" s="6" t="s">
        <v>23</v>
      </c>
      <c r="B75" s="7">
        <f t="shared" si="14"/>
        <v>330</v>
      </c>
      <c r="C75" s="8">
        <v>268</v>
      </c>
      <c r="D75" s="8">
        <v>62</v>
      </c>
    </row>
    <row r="76" spans="1:4" ht="18" customHeight="1" x14ac:dyDescent="0.25">
      <c r="A76" s="9" t="s">
        <v>24</v>
      </c>
      <c r="B76" s="7">
        <f t="shared" si="14"/>
        <v>148</v>
      </c>
      <c r="C76" s="10">
        <v>114</v>
      </c>
      <c r="D76" s="10">
        <v>34</v>
      </c>
    </row>
    <row r="77" spans="1:4" ht="18" customHeight="1" x14ac:dyDescent="0.25">
      <c r="A77" s="6" t="s">
        <v>25</v>
      </c>
      <c r="B77" s="7">
        <f t="shared" si="14"/>
        <v>60</v>
      </c>
      <c r="C77" s="8">
        <v>49</v>
      </c>
      <c r="D77" s="8">
        <v>11</v>
      </c>
    </row>
    <row r="78" spans="1:4" ht="18" customHeight="1" x14ac:dyDescent="0.25">
      <c r="A78" s="9" t="s">
        <v>26</v>
      </c>
      <c r="B78" s="7">
        <f t="shared" si="14"/>
        <v>15</v>
      </c>
      <c r="C78" s="10">
        <v>10</v>
      </c>
      <c r="D78" s="10">
        <v>5</v>
      </c>
    </row>
    <row r="79" spans="1:4" ht="18" customHeight="1" x14ac:dyDescent="0.25">
      <c r="A79" s="6" t="s">
        <v>27</v>
      </c>
      <c r="B79" s="7">
        <f t="shared" si="14"/>
        <v>72</v>
      </c>
      <c r="C79" s="8">
        <v>54</v>
      </c>
      <c r="D79" s="8">
        <v>18</v>
      </c>
    </row>
    <row r="81" spans="1:4" ht="21.95" customHeight="1" x14ac:dyDescent="0.25">
      <c r="A81" s="11" t="s">
        <v>35</v>
      </c>
      <c r="B81" s="12"/>
      <c r="C81" s="12"/>
      <c r="D81" s="13"/>
    </row>
    <row r="82" spans="1:4" ht="18" customHeight="1" x14ac:dyDescent="0.25">
      <c r="A82" s="4" t="s">
        <v>15</v>
      </c>
      <c r="B82" s="5" t="s">
        <v>16</v>
      </c>
      <c r="C82" s="4" t="s">
        <v>19</v>
      </c>
      <c r="D82" s="4" t="s">
        <v>20</v>
      </c>
    </row>
    <row r="83" spans="1:4" ht="18" customHeight="1" x14ac:dyDescent="0.25">
      <c r="A83" s="6" t="s">
        <v>21</v>
      </c>
      <c r="B83" s="7">
        <f t="shared" ref="B83:B89" si="15">C83+D83</f>
        <v>21533</v>
      </c>
      <c r="C83" s="8">
        <v>748</v>
      </c>
      <c r="D83" s="8">
        <v>20785</v>
      </c>
    </row>
    <row r="84" spans="1:4" ht="18" customHeight="1" x14ac:dyDescent="0.25">
      <c r="A84" s="9" t="s">
        <v>22</v>
      </c>
      <c r="B84" s="7">
        <f t="shared" si="15"/>
        <v>2563</v>
      </c>
      <c r="C84" s="10">
        <v>302</v>
      </c>
      <c r="D84" s="10">
        <v>2261</v>
      </c>
    </row>
    <row r="85" spans="1:4" ht="18" customHeight="1" x14ac:dyDescent="0.25">
      <c r="A85" s="6" t="s">
        <v>23</v>
      </c>
      <c r="B85" s="7">
        <f t="shared" si="15"/>
        <v>1733</v>
      </c>
      <c r="C85" s="8">
        <v>210</v>
      </c>
      <c r="D85" s="8">
        <v>1523</v>
      </c>
    </row>
    <row r="86" spans="1:4" ht="18" customHeight="1" x14ac:dyDescent="0.25">
      <c r="A86" s="9" t="s">
        <v>24</v>
      </c>
      <c r="B86" s="7">
        <f t="shared" si="15"/>
        <v>495</v>
      </c>
      <c r="C86" s="10">
        <v>119</v>
      </c>
      <c r="D86" s="10">
        <v>376</v>
      </c>
    </row>
    <row r="87" spans="1:4" ht="18" customHeight="1" x14ac:dyDescent="0.25">
      <c r="A87" s="6" t="s">
        <v>25</v>
      </c>
      <c r="B87" s="7">
        <f t="shared" si="15"/>
        <v>1162</v>
      </c>
      <c r="C87" s="8">
        <v>36</v>
      </c>
      <c r="D87" s="8">
        <v>1126</v>
      </c>
    </row>
    <row r="88" spans="1:4" ht="18" customHeight="1" x14ac:dyDescent="0.25">
      <c r="A88" s="9" t="s">
        <v>26</v>
      </c>
      <c r="B88" s="7">
        <f t="shared" si="15"/>
        <v>37</v>
      </c>
      <c r="C88" s="10">
        <v>3</v>
      </c>
      <c r="D88" s="10">
        <v>34</v>
      </c>
    </row>
    <row r="89" spans="1:4" ht="18" customHeight="1" x14ac:dyDescent="0.25">
      <c r="A89" s="6" t="s">
        <v>27</v>
      </c>
      <c r="B89" s="7">
        <f t="shared" si="15"/>
        <v>318</v>
      </c>
      <c r="C89" s="8">
        <v>83</v>
      </c>
      <c r="D89" s="8">
        <v>235</v>
      </c>
    </row>
  </sheetData>
  <mergeCells count="9">
    <mergeCell ref="A31:D31"/>
    <mergeCell ref="A61:D61"/>
    <mergeCell ref="A1:F1"/>
    <mergeCell ref="A21:D21"/>
    <mergeCell ref="A81:D81"/>
    <mergeCell ref="A41:D41"/>
    <mergeCell ref="A51:D51"/>
    <mergeCell ref="A11:D11"/>
    <mergeCell ref="A71:D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2DDE-2073-41D5-A0F0-30EA8CA20527}">
  <dimension ref="A1:F89"/>
  <sheetViews>
    <sheetView topLeftCell="A58" workbookViewId="0">
      <selection activeCell="D70" sqref="D70"/>
    </sheetView>
  </sheetViews>
  <sheetFormatPr defaultRowHeight="15" x14ac:dyDescent="0.25"/>
  <cols>
    <col min="1" max="1" width="20" customWidth="1"/>
    <col min="2" max="6" width="14" customWidth="1"/>
  </cols>
  <sheetData>
    <row r="1" spans="1:6" ht="21.95" customHeight="1" x14ac:dyDescent="0.25">
      <c r="A1" s="11" t="s">
        <v>14</v>
      </c>
      <c r="B1" s="12"/>
      <c r="C1" s="12"/>
      <c r="D1" s="12"/>
      <c r="E1" s="12"/>
      <c r="F1" s="13"/>
    </row>
    <row r="2" spans="1:6" ht="18" customHeight="1" x14ac:dyDescent="0.25">
      <c r="A2" s="4" t="s">
        <v>15</v>
      </c>
      <c r="B2" s="5" t="s">
        <v>16</v>
      </c>
      <c r="C2" s="4" t="s">
        <v>17</v>
      </c>
      <c r="D2" s="4" t="s">
        <v>18</v>
      </c>
      <c r="E2" s="4" t="s">
        <v>19</v>
      </c>
      <c r="F2" s="4" t="s">
        <v>20</v>
      </c>
    </row>
    <row r="3" spans="1:6" ht="18" customHeight="1" x14ac:dyDescent="0.25">
      <c r="A3" s="6" t="s">
        <v>21</v>
      </c>
      <c r="B3" s="7">
        <f>C3+D3+E3+F3</f>
        <v>67977</v>
      </c>
      <c r="C3" s="8">
        <f>C13</f>
        <v>16751</v>
      </c>
      <c r="D3" s="8">
        <f>D13</f>
        <v>6121</v>
      </c>
      <c r="E3" s="8">
        <f>C53+C83</f>
        <v>2195</v>
      </c>
      <c r="F3" s="8">
        <f>D53+D83</f>
        <v>42910</v>
      </c>
    </row>
    <row r="4" spans="1:6" ht="18" customHeight="1" x14ac:dyDescent="0.25">
      <c r="A4" s="9" t="s">
        <v>22</v>
      </c>
      <c r="B4" s="7">
        <f t="shared" ref="B4:B9" si="0">C4+D4+E4+F4</f>
        <v>4835</v>
      </c>
      <c r="C4" s="8">
        <f t="shared" ref="C4:D9" si="1">C14</f>
        <v>1328</v>
      </c>
      <c r="D4" s="8">
        <f t="shared" si="1"/>
        <v>1331</v>
      </c>
      <c r="E4" s="8">
        <f t="shared" ref="E4:F9" si="2">C54+C84</f>
        <v>92</v>
      </c>
      <c r="F4" s="8">
        <f t="shared" si="2"/>
        <v>2084</v>
      </c>
    </row>
    <row r="5" spans="1:6" ht="18" customHeight="1" x14ac:dyDescent="0.25">
      <c r="A5" s="6" t="s">
        <v>23</v>
      </c>
      <c r="B5" s="7">
        <f t="shared" si="0"/>
        <v>3727</v>
      </c>
      <c r="C5" s="8">
        <f t="shared" si="1"/>
        <v>964</v>
      </c>
      <c r="D5" s="8">
        <f t="shared" si="1"/>
        <v>991</v>
      </c>
      <c r="E5" s="8">
        <f t="shared" si="2"/>
        <v>78</v>
      </c>
      <c r="F5" s="8">
        <f t="shared" si="2"/>
        <v>1694</v>
      </c>
    </row>
    <row r="6" spans="1:6" ht="18" customHeight="1" x14ac:dyDescent="0.25">
      <c r="A6" s="9" t="s">
        <v>24</v>
      </c>
      <c r="B6" s="7">
        <f t="shared" si="0"/>
        <v>1799</v>
      </c>
      <c r="C6" s="8">
        <f t="shared" si="1"/>
        <v>658</v>
      </c>
      <c r="D6" s="8">
        <f t="shared" si="1"/>
        <v>363</v>
      </c>
      <c r="E6" s="8">
        <f t="shared" si="2"/>
        <v>53</v>
      </c>
      <c r="F6" s="8">
        <f t="shared" si="2"/>
        <v>725</v>
      </c>
    </row>
    <row r="7" spans="1:6" ht="18" customHeight="1" x14ac:dyDescent="0.25">
      <c r="A7" s="6" t="s">
        <v>25</v>
      </c>
      <c r="B7" s="7">
        <f t="shared" si="0"/>
        <v>603</v>
      </c>
      <c r="C7" s="8">
        <f t="shared" si="1"/>
        <v>146</v>
      </c>
      <c r="D7" s="8">
        <f t="shared" si="1"/>
        <v>107</v>
      </c>
      <c r="E7" s="8">
        <f t="shared" si="2"/>
        <v>16</v>
      </c>
      <c r="F7" s="8">
        <f t="shared" si="2"/>
        <v>334</v>
      </c>
    </row>
    <row r="8" spans="1:6" ht="18" customHeight="1" x14ac:dyDescent="0.25">
      <c r="A8" s="9" t="s">
        <v>26</v>
      </c>
      <c r="B8" s="7">
        <f t="shared" si="0"/>
        <v>169</v>
      </c>
      <c r="C8" s="8">
        <f t="shared" si="1"/>
        <v>86</v>
      </c>
      <c r="D8" s="8">
        <f t="shared" si="1"/>
        <v>49</v>
      </c>
      <c r="E8" s="8">
        <f t="shared" si="2"/>
        <v>0</v>
      </c>
      <c r="F8" s="8">
        <f t="shared" si="2"/>
        <v>34</v>
      </c>
    </row>
    <row r="9" spans="1:6" ht="18" customHeight="1" x14ac:dyDescent="0.25">
      <c r="A9" s="6" t="s">
        <v>27</v>
      </c>
      <c r="B9" s="7">
        <f t="shared" si="0"/>
        <v>1072</v>
      </c>
      <c r="C9" s="8">
        <f>C19</f>
        <v>426</v>
      </c>
      <c r="D9" s="8">
        <f t="shared" si="1"/>
        <v>158</v>
      </c>
      <c r="E9" s="8">
        <f t="shared" si="2"/>
        <v>0</v>
      </c>
      <c r="F9" s="8">
        <f t="shared" si="2"/>
        <v>488</v>
      </c>
    </row>
    <row r="11" spans="1:6" ht="21.95" customHeight="1" x14ac:dyDescent="0.25">
      <c r="A11" s="11" t="s">
        <v>28</v>
      </c>
      <c r="B11" s="12"/>
      <c r="C11" s="12"/>
      <c r="D11" s="13"/>
    </row>
    <row r="12" spans="1:6" ht="18" customHeight="1" x14ac:dyDescent="0.25">
      <c r="A12" s="4" t="s">
        <v>15</v>
      </c>
      <c r="B12" s="5" t="s">
        <v>16</v>
      </c>
      <c r="C12" s="4" t="s">
        <v>17</v>
      </c>
      <c r="D12" s="4" t="s">
        <v>18</v>
      </c>
    </row>
    <row r="13" spans="1:6" ht="18" customHeight="1" x14ac:dyDescent="0.25">
      <c r="A13" s="6" t="s">
        <v>21</v>
      </c>
      <c r="B13" s="7">
        <f t="shared" ref="B13:B19" si="3">C13+D13</f>
        <v>22872</v>
      </c>
      <c r="C13" s="8">
        <f>C23+C33+C43</f>
        <v>16751</v>
      </c>
      <c r="D13" s="8">
        <f>D23+D33+D43</f>
        <v>6121</v>
      </c>
    </row>
    <row r="14" spans="1:6" ht="18" customHeight="1" x14ac:dyDescent="0.25">
      <c r="A14" s="9" t="s">
        <v>22</v>
      </c>
      <c r="B14" s="7">
        <f t="shared" si="3"/>
        <v>2659</v>
      </c>
      <c r="C14" s="8">
        <f t="shared" ref="C14:D19" si="4">C24+C34+C44</f>
        <v>1328</v>
      </c>
      <c r="D14" s="8">
        <f t="shared" si="4"/>
        <v>1331</v>
      </c>
    </row>
    <row r="15" spans="1:6" ht="18" customHeight="1" x14ac:dyDescent="0.25">
      <c r="A15" s="6" t="s">
        <v>23</v>
      </c>
      <c r="B15" s="7">
        <f t="shared" si="3"/>
        <v>1955</v>
      </c>
      <c r="C15" s="8">
        <f t="shared" si="4"/>
        <v>964</v>
      </c>
      <c r="D15" s="8">
        <f t="shared" si="4"/>
        <v>991</v>
      </c>
    </row>
    <row r="16" spans="1:6" ht="18" customHeight="1" x14ac:dyDescent="0.25">
      <c r="A16" s="9" t="s">
        <v>24</v>
      </c>
      <c r="B16" s="7">
        <f t="shared" si="3"/>
        <v>1021</v>
      </c>
      <c r="C16" s="8">
        <f t="shared" si="4"/>
        <v>658</v>
      </c>
      <c r="D16" s="8">
        <f t="shared" si="4"/>
        <v>363</v>
      </c>
    </row>
    <row r="17" spans="1:4" ht="18" customHeight="1" x14ac:dyDescent="0.25">
      <c r="A17" s="6" t="s">
        <v>25</v>
      </c>
      <c r="B17" s="7">
        <f t="shared" si="3"/>
        <v>253</v>
      </c>
      <c r="C17" s="8">
        <f>C27+C37+C47</f>
        <v>146</v>
      </c>
      <c r="D17" s="8">
        <f t="shared" si="4"/>
        <v>107</v>
      </c>
    </row>
    <row r="18" spans="1:4" ht="18" customHeight="1" x14ac:dyDescent="0.25">
      <c r="A18" s="9" t="s">
        <v>26</v>
      </c>
      <c r="B18" s="7">
        <f t="shared" si="3"/>
        <v>135</v>
      </c>
      <c r="C18" s="8">
        <f t="shared" si="4"/>
        <v>86</v>
      </c>
      <c r="D18" s="8">
        <f t="shared" si="4"/>
        <v>49</v>
      </c>
    </row>
    <row r="19" spans="1:4" ht="18" customHeight="1" x14ac:dyDescent="0.25">
      <c r="A19" s="6" t="s">
        <v>27</v>
      </c>
      <c r="B19" s="7">
        <f t="shared" si="3"/>
        <v>584</v>
      </c>
      <c r="C19" s="8">
        <f t="shared" si="4"/>
        <v>426</v>
      </c>
      <c r="D19" s="8">
        <f>D29+D39+D49</f>
        <v>158</v>
      </c>
    </row>
    <row r="21" spans="1:4" ht="21.95" customHeight="1" x14ac:dyDescent="0.25">
      <c r="A21" s="11" t="s">
        <v>29</v>
      </c>
      <c r="B21" s="12"/>
      <c r="C21" s="12"/>
      <c r="D21" s="13"/>
    </row>
    <row r="22" spans="1:4" ht="18" customHeight="1" x14ac:dyDescent="0.25">
      <c r="A22" s="4" t="s">
        <v>15</v>
      </c>
      <c r="B22" s="5" t="s">
        <v>16</v>
      </c>
      <c r="C22" s="4" t="s">
        <v>17</v>
      </c>
      <c r="D22" s="4" t="s">
        <v>18</v>
      </c>
    </row>
    <row r="23" spans="1:4" ht="18" customHeight="1" x14ac:dyDescent="0.25">
      <c r="A23" s="6" t="s">
        <v>21</v>
      </c>
      <c r="B23" s="7">
        <f t="shared" ref="B23:B29" si="5">C23+D23</f>
        <v>21887</v>
      </c>
      <c r="C23" s="8">
        <v>16751</v>
      </c>
      <c r="D23" s="8">
        <v>5136</v>
      </c>
    </row>
    <row r="24" spans="1:4" ht="18" customHeight="1" x14ac:dyDescent="0.25">
      <c r="A24" s="9" t="s">
        <v>22</v>
      </c>
      <c r="B24" s="7">
        <f t="shared" si="5"/>
        <v>2135</v>
      </c>
      <c r="C24" s="10">
        <v>1328</v>
      </c>
      <c r="D24" s="10">
        <v>807</v>
      </c>
    </row>
    <row r="25" spans="1:4" ht="18" customHeight="1" x14ac:dyDescent="0.25">
      <c r="A25" s="6" t="s">
        <v>23</v>
      </c>
      <c r="B25" s="7">
        <f t="shared" si="5"/>
        <v>1642</v>
      </c>
      <c r="C25" s="8">
        <v>964</v>
      </c>
      <c r="D25" s="8">
        <v>678</v>
      </c>
    </row>
    <row r="26" spans="1:4" ht="18" customHeight="1" x14ac:dyDescent="0.25">
      <c r="A26" s="9" t="s">
        <v>24</v>
      </c>
      <c r="B26" s="7">
        <f t="shared" si="5"/>
        <v>845</v>
      </c>
      <c r="C26" s="10">
        <v>658</v>
      </c>
      <c r="D26" s="10">
        <v>187</v>
      </c>
    </row>
    <row r="27" spans="1:4" ht="18" customHeight="1" x14ac:dyDescent="0.25">
      <c r="A27" s="6" t="s">
        <v>25</v>
      </c>
      <c r="B27" s="7">
        <f t="shared" si="5"/>
        <v>209</v>
      </c>
      <c r="C27" s="8">
        <v>146</v>
      </c>
      <c r="D27" s="8">
        <v>63</v>
      </c>
    </row>
    <row r="28" spans="1:4" ht="18" customHeight="1" x14ac:dyDescent="0.25">
      <c r="A28" s="9" t="s">
        <v>26</v>
      </c>
      <c r="B28" s="7">
        <f t="shared" si="5"/>
        <v>118</v>
      </c>
      <c r="C28" s="10">
        <v>86</v>
      </c>
      <c r="D28" s="10">
        <v>32</v>
      </c>
    </row>
    <row r="29" spans="1:4" ht="18" customHeight="1" x14ac:dyDescent="0.25">
      <c r="A29" s="6" t="s">
        <v>27</v>
      </c>
      <c r="B29" s="7">
        <f t="shared" si="5"/>
        <v>518</v>
      </c>
      <c r="C29" s="8">
        <v>426</v>
      </c>
      <c r="D29" s="8">
        <v>92</v>
      </c>
    </row>
    <row r="31" spans="1:4" ht="21.95" customHeight="1" x14ac:dyDescent="0.25">
      <c r="A31" s="11" t="s">
        <v>30</v>
      </c>
      <c r="B31" s="12"/>
      <c r="C31" s="12"/>
      <c r="D31" s="13"/>
    </row>
    <row r="32" spans="1:4" ht="18" customHeight="1" x14ac:dyDescent="0.25">
      <c r="A32" s="4" t="s">
        <v>15</v>
      </c>
      <c r="B32" s="5" t="s">
        <v>16</v>
      </c>
      <c r="C32" s="4" t="s">
        <v>17</v>
      </c>
      <c r="D32" s="4" t="s">
        <v>18</v>
      </c>
    </row>
    <row r="33" spans="1:4" ht="18" customHeight="1" x14ac:dyDescent="0.25">
      <c r="A33" s="6" t="s">
        <v>21</v>
      </c>
      <c r="B33" s="7">
        <f t="shared" ref="B33:B39" si="6">C33+D33</f>
        <v>0</v>
      </c>
      <c r="C33" s="8"/>
      <c r="D33" s="8"/>
    </row>
    <row r="34" spans="1:4" ht="18" customHeight="1" x14ac:dyDescent="0.25">
      <c r="A34" s="9" t="s">
        <v>22</v>
      </c>
      <c r="B34" s="7">
        <f t="shared" si="6"/>
        <v>0</v>
      </c>
      <c r="C34" s="10"/>
      <c r="D34" s="10"/>
    </row>
    <row r="35" spans="1:4" ht="18" customHeight="1" x14ac:dyDescent="0.25">
      <c r="A35" s="6" t="s">
        <v>23</v>
      </c>
      <c r="B35" s="7">
        <f t="shared" si="6"/>
        <v>0</v>
      </c>
      <c r="C35" s="8"/>
      <c r="D35" s="8"/>
    </row>
    <row r="36" spans="1:4" ht="18" customHeight="1" x14ac:dyDescent="0.25">
      <c r="A36" s="9" t="s">
        <v>24</v>
      </c>
      <c r="B36" s="7">
        <f t="shared" si="6"/>
        <v>0</v>
      </c>
      <c r="C36" s="10"/>
      <c r="D36" s="10"/>
    </row>
    <row r="37" spans="1:4" ht="18" customHeight="1" x14ac:dyDescent="0.25">
      <c r="A37" s="6" t="s">
        <v>25</v>
      </c>
      <c r="B37" s="7">
        <f t="shared" si="6"/>
        <v>0</v>
      </c>
      <c r="C37" s="8"/>
      <c r="D37" s="8"/>
    </row>
    <row r="38" spans="1:4" ht="18" customHeight="1" x14ac:dyDescent="0.25">
      <c r="A38" s="9" t="s">
        <v>26</v>
      </c>
      <c r="B38" s="7">
        <f t="shared" si="6"/>
        <v>0</v>
      </c>
      <c r="C38" s="10"/>
      <c r="D38" s="10"/>
    </row>
    <row r="39" spans="1:4" ht="18" customHeight="1" x14ac:dyDescent="0.25">
      <c r="A39" s="6" t="s">
        <v>27</v>
      </c>
      <c r="B39" s="7">
        <f t="shared" si="6"/>
        <v>0</v>
      </c>
      <c r="C39" s="8"/>
      <c r="D39" s="8"/>
    </row>
    <row r="41" spans="1:4" ht="21.95" customHeight="1" x14ac:dyDescent="0.25">
      <c r="A41" s="11" t="s">
        <v>31</v>
      </c>
      <c r="B41" s="12"/>
      <c r="C41" s="12"/>
      <c r="D41" s="13"/>
    </row>
    <row r="42" spans="1:4" ht="18" customHeight="1" x14ac:dyDescent="0.25">
      <c r="A42" s="4" t="s">
        <v>15</v>
      </c>
      <c r="B42" s="5" t="s">
        <v>16</v>
      </c>
      <c r="C42" s="4" t="s">
        <v>17</v>
      </c>
      <c r="D42" s="4" t="s">
        <v>18</v>
      </c>
    </row>
    <row r="43" spans="1:4" ht="18" customHeight="1" x14ac:dyDescent="0.25">
      <c r="A43" s="6" t="s">
        <v>21</v>
      </c>
      <c r="B43" s="7">
        <f t="shared" ref="B43:B49" si="7">C43+D43</f>
        <v>985</v>
      </c>
      <c r="C43" s="8"/>
      <c r="D43" s="8">
        <v>985</v>
      </c>
    </row>
    <row r="44" spans="1:4" ht="18" customHeight="1" x14ac:dyDescent="0.25">
      <c r="A44" s="9" t="s">
        <v>22</v>
      </c>
      <c r="B44" s="7">
        <f t="shared" si="7"/>
        <v>524</v>
      </c>
      <c r="C44" s="10"/>
      <c r="D44" s="10">
        <v>524</v>
      </c>
    </row>
    <row r="45" spans="1:4" ht="18" customHeight="1" x14ac:dyDescent="0.25">
      <c r="A45" s="6" t="s">
        <v>23</v>
      </c>
      <c r="B45" s="7">
        <f t="shared" si="7"/>
        <v>313</v>
      </c>
      <c r="C45" s="8"/>
      <c r="D45" s="8">
        <v>313</v>
      </c>
    </row>
    <row r="46" spans="1:4" ht="18" customHeight="1" x14ac:dyDescent="0.25">
      <c r="A46" s="9" t="s">
        <v>24</v>
      </c>
      <c r="B46" s="7">
        <f t="shared" si="7"/>
        <v>176</v>
      </c>
      <c r="C46" s="10"/>
      <c r="D46" s="10">
        <v>176</v>
      </c>
    </row>
    <row r="47" spans="1:4" ht="18" customHeight="1" x14ac:dyDescent="0.25">
      <c r="A47" s="6" t="s">
        <v>25</v>
      </c>
      <c r="B47" s="7">
        <f t="shared" si="7"/>
        <v>44</v>
      </c>
      <c r="C47" s="8"/>
      <c r="D47" s="8">
        <v>44</v>
      </c>
    </row>
    <row r="48" spans="1:4" ht="18" customHeight="1" x14ac:dyDescent="0.25">
      <c r="A48" s="9" t="s">
        <v>26</v>
      </c>
      <c r="B48" s="7">
        <f t="shared" si="7"/>
        <v>17</v>
      </c>
      <c r="C48" s="10"/>
      <c r="D48" s="10">
        <v>17</v>
      </c>
    </row>
    <row r="49" spans="1:4" ht="18" customHeight="1" x14ac:dyDescent="0.25">
      <c r="A49" s="6" t="s">
        <v>27</v>
      </c>
      <c r="B49" s="7">
        <f t="shared" si="7"/>
        <v>66</v>
      </c>
      <c r="C49" s="8"/>
      <c r="D49" s="8">
        <v>66</v>
      </c>
    </row>
    <row r="51" spans="1:4" ht="21.95" customHeight="1" x14ac:dyDescent="0.25">
      <c r="A51" s="11" t="s">
        <v>32</v>
      </c>
      <c r="B51" s="12"/>
      <c r="C51" s="12"/>
      <c r="D51" s="13"/>
    </row>
    <row r="52" spans="1:4" ht="18" customHeight="1" x14ac:dyDescent="0.25">
      <c r="A52" s="4" t="s">
        <v>15</v>
      </c>
      <c r="B52" s="5" t="s">
        <v>16</v>
      </c>
      <c r="C52" s="4" t="s">
        <v>19</v>
      </c>
      <c r="D52" s="4" t="s">
        <v>20</v>
      </c>
    </row>
    <row r="53" spans="1:4" ht="18" customHeight="1" x14ac:dyDescent="0.25">
      <c r="A53" s="6" t="s">
        <v>21</v>
      </c>
      <c r="B53" s="7">
        <f t="shared" ref="B53:B59" si="8">C53+D53</f>
        <v>25502</v>
      </c>
      <c r="C53" s="8">
        <f>C63+C73</f>
        <v>0</v>
      </c>
      <c r="D53" s="8">
        <f>D63+D73</f>
        <v>25502</v>
      </c>
    </row>
    <row r="54" spans="1:4" ht="18" customHeight="1" x14ac:dyDescent="0.25">
      <c r="A54" s="9" t="s">
        <v>22</v>
      </c>
      <c r="B54" s="7">
        <f t="shared" si="8"/>
        <v>1061</v>
      </c>
      <c r="C54" s="8">
        <f t="shared" ref="C54:D59" si="9">C64+C74</f>
        <v>0</v>
      </c>
      <c r="D54" s="8">
        <f t="shared" si="9"/>
        <v>1061</v>
      </c>
    </row>
    <row r="55" spans="1:4" ht="18" customHeight="1" x14ac:dyDescent="0.25">
      <c r="A55" s="6" t="s">
        <v>23</v>
      </c>
      <c r="B55" s="7">
        <f t="shared" si="8"/>
        <v>763</v>
      </c>
      <c r="C55" s="8">
        <f t="shared" si="9"/>
        <v>0</v>
      </c>
      <c r="D55" s="8">
        <f t="shared" si="9"/>
        <v>763</v>
      </c>
    </row>
    <row r="56" spans="1:4" ht="18" customHeight="1" x14ac:dyDescent="0.25">
      <c r="A56" s="9" t="s">
        <v>24</v>
      </c>
      <c r="B56" s="7">
        <f t="shared" si="8"/>
        <v>313</v>
      </c>
      <c r="C56" s="8">
        <f t="shared" si="9"/>
        <v>0</v>
      </c>
      <c r="D56" s="8">
        <f t="shared" si="9"/>
        <v>313</v>
      </c>
    </row>
    <row r="57" spans="1:4" ht="18" customHeight="1" x14ac:dyDescent="0.25">
      <c r="A57" s="6" t="s">
        <v>25</v>
      </c>
      <c r="B57" s="7">
        <f t="shared" si="8"/>
        <v>62</v>
      </c>
      <c r="C57" s="8">
        <f t="shared" si="9"/>
        <v>0</v>
      </c>
      <c r="D57" s="8">
        <f t="shared" si="9"/>
        <v>62</v>
      </c>
    </row>
    <row r="58" spans="1:4" ht="18" customHeight="1" x14ac:dyDescent="0.25">
      <c r="A58" s="9" t="s">
        <v>26</v>
      </c>
      <c r="B58" s="7">
        <f t="shared" si="8"/>
        <v>19</v>
      </c>
      <c r="C58" s="8">
        <f>C68+C78</f>
        <v>0</v>
      </c>
      <c r="D58" s="8">
        <f t="shared" si="9"/>
        <v>19</v>
      </c>
    </row>
    <row r="59" spans="1:4" ht="18" customHeight="1" x14ac:dyDescent="0.25">
      <c r="A59" s="6" t="s">
        <v>27</v>
      </c>
      <c r="B59" s="7">
        <f t="shared" si="8"/>
        <v>232</v>
      </c>
      <c r="C59" s="8">
        <f t="shared" si="9"/>
        <v>0</v>
      </c>
      <c r="D59" s="8">
        <f t="shared" si="9"/>
        <v>232</v>
      </c>
    </row>
    <row r="61" spans="1:4" ht="21.95" customHeight="1" x14ac:dyDescent="0.25">
      <c r="A61" s="11" t="s">
        <v>33</v>
      </c>
      <c r="B61" s="12"/>
      <c r="C61" s="12"/>
      <c r="D61" s="13"/>
    </row>
    <row r="62" spans="1:4" ht="18" customHeight="1" x14ac:dyDescent="0.25">
      <c r="A62" s="4" t="s">
        <v>15</v>
      </c>
      <c r="B62" s="5" t="s">
        <v>16</v>
      </c>
      <c r="C62" s="4" t="s">
        <v>19</v>
      </c>
      <c r="D62" s="4" t="s">
        <v>20</v>
      </c>
    </row>
    <row r="63" spans="1:4" ht="18" customHeight="1" x14ac:dyDescent="0.25">
      <c r="A63" s="6" t="s">
        <v>21</v>
      </c>
      <c r="B63" s="7">
        <f t="shared" ref="B63:B69" si="10">C63+D63</f>
        <v>25502</v>
      </c>
      <c r="C63" s="8"/>
      <c r="D63" s="8">
        <v>25502</v>
      </c>
    </row>
    <row r="64" spans="1:4" ht="18" customHeight="1" x14ac:dyDescent="0.25">
      <c r="A64" s="9" t="s">
        <v>22</v>
      </c>
      <c r="B64" s="7">
        <f t="shared" si="10"/>
        <v>1061</v>
      </c>
      <c r="C64" s="10"/>
      <c r="D64" s="10">
        <v>1061</v>
      </c>
    </row>
    <row r="65" spans="1:4" ht="18" customHeight="1" x14ac:dyDescent="0.25">
      <c r="A65" s="6" t="s">
        <v>23</v>
      </c>
      <c r="B65" s="7">
        <f t="shared" si="10"/>
        <v>763</v>
      </c>
      <c r="C65" s="8"/>
      <c r="D65" s="8">
        <v>763</v>
      </c>
    </row>
    <row r="66" spans="1:4" ht="18" customHeight="1" x14ac:dyDescent="0.25">
      <c r="A66" s="9" t="s">
        <v>24</v>
      </c>
      <c r="B66" s="7">
        <f t="shared" si="10"/>
        <v>313</v>
      </c>
      <c r="C66" s="10"/>
      <c r="D66" s="10">
        <v>313</v>
      </c>
    </row>
    <row r="67" spans="1:4" ht="18" customHeight="1" x14ac:dyDescent="0.25">
      <c r="A67" s="6" t="s">
        <v>25</v>
      </c>
      <c r="B67" s="7">
        <f t="shared" si="10"/>
        <v>62</v>
      </c>
      <c r="C67" s="8"/>
      <c r="D67" s="8">
        <v>62</v>
      </c>
    </row>
    <row r="68" spans="1:4" ht="18" customHeight="1" x14ac:dyDescent="0.25">
      <c r="A68" s="9" t="s">
        <v>26</v>
      </c>
      <c r="B68" s="7">
        <f t="shared" si="10"/>
        <v>19</v>
      </c>
      <c r="C68" s="10"/>
      <c r="D68" s="10">
        <v>19</v>
      </c>
    </row>
    <row r="69" spans="1:4" ht="18" customHeight="1" x14ac:dyDescent="0.25">
      <c r="A69" s="6" t="s">
        <v>27</v>
      </c>
      <c r="B69" s="7">
        <f t="shared" si="10"/>
        <v>232</v>
      </c>
      <c r="C69" s="8"/>
      <c r="D69" s="8">
        <v>232</v>
      </c>
    </row>
    <row r="71" spans="1:4" ht="21.95" customHeight="1" x14ac:dyDescent="0.25">
      <c r="A71" s="11" t="s">
        <v>34</v>
      </c>
      <c r="B71" s="12"/>
      <c r="C71" s="12"/>
      <c r="D71" s="13"/>
    </row>
    <row r="72" spans="1:4" ht="18" customHeight="1" x14ac:dyDescent="0.25">
      <c r="A72" s="4" t="s">
        <v>15</v>
      </c>
      <c r="B72" s="5" t="s">
        <v>16</v>
      </c>
      <c r="C72" s="4" t="s">
        <v>19</v>
      </c>
      <c r="D72" s="4" t="s">
        <v>20</v>
      </c>
    </row>
    <row r="73" spans="1:4" ht="18" customHeight="1" x14ac:dyDescent="0.25">
      <c r="A73" s="6" t="s">
        <v>21</v>
      </c>
      <c r="B73" s="7">
        <f t="shared" ref="B73:B79" si="11">C73+D73</f>
        <v>0</v>
      </c>
      <c r="C73" s="8"/>
      <c r="D73" s="8"/>
    </row>
    <row r="74" spans="1:4" ht="18" customHeight="1" x14ac:dyDescent="0.25">
      <c r="A74" s="9" t="s">
        <v>22</v>
      </c>
      <c r="B74" s="7">
        <f t="shared" si="11"/>
        <v>0</v>
      </c>
      <c r="C74" s="10"/>
      <c r="D74" s="10"/>
    </row>
    <row r="75" spans="1:4" ht="18" customHeight="1" x14ac:dyDescent="0.25">
      <c r="A75" s="6" t="s">
        <v>23</v>
      </c>
      <c r="B75" s="7">
        <f t="shared" si="11"/>
        <v>0</v>
      </c>
      <c r="C75" s="8"/>
      <c r="D75" s="8"/>
    </row>
    <row r="76" spans="1:4" ht="18" customHeight="1" x14ac:dyDescent="0.25">
      <c r="A76" s="9" t="s">
        <v>24</v>
      </c>
      <c r="B76" s="7">
        <f t="shared" si="11"/>
        <v>0</v>
      </c>
      <c r="C76" s="10"/>
      <c r="D76" s="10"/>
    </row>
    <row r="77" spans="1:4" ht="18" customHeight="1" x14ac:dyDescent="0.25">
      <c r="A77" s="6" t="s">
        <v>25</v>
      </c>
      <c r="B77" s="7">
        <f t="shared" si="11"/>
        <v>0</v>
      </c>
      <c r="C77" s="8"/>
      <c r="D77" s="8"/>
    </row>
    <row r="78" spans="1:4" ht="18" customHeight="1" x14ac:dyDescent="0.25">
      <c r="A78" s="9" t="s">
        <v>26</v>
      </c>
      <c r="B78" s="7">
        <f t="shared" si="11"/>
        <v>0</v>
      </c>
      <c r="C78" s="10"/>
      <c r="D78" s="10"/>
    </row>
    <row r="79" spans="1:4" ht="18" customHeight="1" x14ac:dyDescent="0.25">
      <c r="A79" s="6" t="s">
        <v>27</v>
      </c>
      <c r="B79" s="7">
        <f t="shared" si="11"/>
        <v>0</v>
      </c>
      <c r="C79" s="8"/>
      <c r="D79" s="8"/>
    </row>
    <row r="81" spans="1:4" ht="21.95" customHeight="1" x14ac:dyDescent="0.25">
      <c r="A81" s="11" t="s">
        <v>35</v>
      </c>
      <c r="B81" s="12"/>
      <c r="C81" s="12"/>
      <c r="D81" s="13"/>
    </row>
    <row r="82" spans="1:4" ht="18" customHeight="1" x14ac:dyDescent="0.25">
      <c r="A82" s="4" t="s">
        <v>15</v>
      </c>
      <c r="B82" s="5" t="s">
        <v>16</v>
      </c>
      <c r="C82" s="4" t="s">
        <v>19</v>
      </c>
      <c r="D82" s="4" t="s">
        <v>20</v>
      </c>
    </row>
    <row r="83" spans="1:4" ht="18" customHeight="1" x14ac:dyDescent="0.25">
      <c r="A83" s="6" t="s">
        <v>21</v>
      </c>
      <c r="B83" s="7">
        <f t="shared" ref="B83:B89" si="12">C83+D83</f>
        <v>19603</v>
      </c>
      <c r="C83" s="8">
        <v>2195</v>
      </c>
      <c r="D83" s="8">
        <v>17408</v>
      </c>
    </row>
    <row r="84" spans="1:4" ht="18" customHeight="1" x14ac:dyDescent="0.25">
      <c r="A84" s="9" t="s">
        <v>22</v>
      </c>
      <c r="B84" s="7">
        <f t="shared" si="12"/>
        <v>1115</v>
      </c>
      <c r="C84" s="10">
        <v>92</v>
      </c>
      <c r="D84" s="10">
        <v>1023</v>
      </c>
    </row>
    <row r="85" spans="1:4" ht="18" customHeight="1" x14ac:dyDescent="0.25">
      <c r="A85" s="6" t="s">
        <v>23</v>
      </c>
      <c r="B85" s="7">
        <f t="shared" si="12"/>
        <v>1009</v>
      </c>
      <c r="C85" s="8">
        <v>78</v>
      </c>
      <c r="D85" s="8">
        <v>931</v>
      </c>
    </row>
    <row r="86" spans="1:4" ht="18" customHeight="1" x14ac:dyDescent="0.25">
      <c r="A86" s="9" t="s">
        <v>24</v>
      </c>
      <c r="B86" s="7">
        <f t="shared" si="12"/>
        <v>465</v>
      </c>
      <c r="C86" s="10">
        <v>53</v>
      </c>
      <c r="D86" s="10">
        <v>412</v>
      </c>
    </row>
    <row r="87" spans="1:4" ht="18" customHeight="1" x14ac:dyDescent="0.25">
      <c r="A87" s="6" t="s">
        <v>25</v>
      </c>
      <c r="B87" s="7">
        <f t="shared" si="12"/>
        <v>288</v>
      </c>
      <c r="C87" s="8">
        <v>16</v>
      </c>
      <c r="D87" s="8">
        <v>272</v>
      </c>
    </row>
    <row r="88" spans="1:4" ht="18" customHeight="1" x14ac:dyDescent="0.25">
      <c r="A88" s="9" t="s">
        <v>26</v>
      </c>
      <c r="B88" s="7">
        <f t="shared" si="12"/>
        <v>15</v>
      </c>
      <c r="C88" s="10">
        <v>0</v>
      </c>
      <c r="D88" s="10">
        <v>15</v>
      </c>
    </row>
    <row r="89" spans="1:4" ht="18" customHeight="1" x14ac:dyDescent="0.25">
      <c r="A89" s="6" t="s">
        <v>27</v>
      </c>
      <c r="B89" s="7">
        <f t="shared" si="12"/>
        <v>256</v>
      </c>
      <c r="C89" s="8">
        <v>0</v>
      </c>
      <c r="D89" s="8">
        <v>256</v>
      </c>
    </row>
  </sheetData>
  <mergeCells count="9">
    <mergeCell ref="A61:D61"/>
    <mergeCell ref="A71:D71"/>
    <mergeCell ref="A81:D81"/>
    <mergeCell ref="A1:F1"/>
    <mergeCell ref="A11:D11"/>
    <mergeCell ref="A21:D21"/>
    <mergeCell ref="A31:D31"/>
    <mergeCell ref="A41:D4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INSTRUCOES</vt:lpstr>
      <vt:lpstr>Abr-2026</vt:lpstr>
      <vt:lpstr>Mai-2026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Nathan Cardoso</cp:lastModifiedBy>
  <cp:revision/>
  <dcterms:created xsi:type="dcterms:W3CDTF">2026-05-05T13:12:45Z</dcterms:created>
  <dcterms:modified xsi:type="dcterms:W3CDTF">2026-05-26T12:13:55Z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2026-05-05T13:27:56Z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dfe7cfb7-27cd-4bd8-9397-94674579cb4e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